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\flow360cases\DUC\results_postprocessing\POC2\"/>
    </mc:Choice>
  </mc:AlternateContent>
  <xr:revisionPtr revIDLastSave="0" documentId="13_ncr:1_{90E5156D-241C-4473-B441-02A3C294616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4" i="1"/>
  <c r="G5" i="1"/>
  <c r="I5" i="1"/>
  <c r="G6" i="1"/>
  <c r="I6" i="1"/>
  <c r="G7" i="1"/>
  <c r="I7" i="1"/>
  <c r="I3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</calcChain>
</file>

<file path=xl/sharedStrings.xml><?xml version="1.0" encoding="utf-8"?>
<sst xmlns="http://schemas.openxmlformats.org/spreadsheetml/2006/main" count="12" uniqueCount="7">
  <si>
    <t>x</t>
  </si>
  <si>
    <t>y</t>
  </si>
  <si>
    <t>z</t>
  </si>
  <si>
    <t>r</t>
  </si>
  <si>
    <t>theta</t>
  </si>
  <si>
    <t>Measurement microphone positions</t>
  </si>
  <si>
    <t>Simulation observer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</si>
</sst>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T11" sqref="T11"/>
    </sheetView>
  </sheetViews>
  <sheetFormatPr baseColWidth="10" defaultColWidth="8.7265625" defaultRowHeight="14.5" x14ac:dyDescent="0.35"/>
  <sheetData>
    <row r="1" spans="1:11" x14ac:dyDescent="0.35">
      <c r="A1" s="1" t="s">
        <v>5</v>
      </c>
      <c r="B1" s="1"/>
      <c r="C1" s="1"/>
      <c r="D1" s="1"/>
      <c r="E1" s="1"/>
      <c r="G1" s="1" t="s">
        <v>6</v>
      </c>
      <c r="H1" s="1"/>
      <c r="I1" s="1"/>
      <c r="J1" s="1"/>
      <c r="K1" s="1"/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 x14ac:dyDescent="0.35">
      <c r="A3">
        <v>0</v>
      </c>
      <c r="B3">
        <v>-3.6880000000000002</v>
      </c>
      <c r="C3">
        <v>15</v>
      </c>
      <c r="D3">
        <f>(A3^2+B3^2+C3^2)^(1/2)</f>
        <v>15.446725996145592</v>
      </c>
      <c r="E3">
        <f>90-DEGREES(ATAN2(C3,(A3^2+B3^2)^(1/2)))</f>
        <v>76.186864205427881</v>
      </c>
      <c r="G3">
        <f>J3*SIN(RADIANS(K3))</f>
        <v>0</v>
      </c>
      <c r="H3">
        <v>0</v>
      </c>
      <c r="I3">
        <f>J3*COS(RADIANS(K3))</f>
        <v>100</v>
      </c>
      <c r="J3">
        <v>100</v>
      </c>
      <c r="K3">
        <v>0</v>
      </c>
    </row>
    <row r="4" spans="1:11" x14ac:dyDescent="0.35">
      <c r="A4">
        <v>3.8820000000000001</v>
      </c>
      <c r="B4">
        <v>-3.6880000000000002</v>
      </c>
      <c r="C4">
        <v>14.489000000000001</v>
      </c>
      <c r="D4">
        <f t="shared" ref="D4:D26" si="0">(A4^2+B4^2+C4^2)^(1/2)</f>
        <v>15.446759822046824</v>
      </c>
      <c r="E4">
        <f t="shared" ref="E4:E26" si="1">90-DEGREES(ATAN2(C4,(A4^2+B4^2)^(1/2)))</f>
        <v>69.717700524085217</v>
      </c>
      <c r="G4">
        <f t="shared" ref="G4:G7" si="2">J4*SIN(RADIANS(K4))</f>
        <v>100</v>
      </c>
      <c r="H4">
        <v>1</v>
      </c>
      <c r="I4">
        <f t="shared" ref="I4:I7" si="3">J4*COS(RADIANS(K4))</f>
        <v>6.1257422745431001E-15</v>
      </c>
      <c r="J4">
        <v>100</v>
      </c>
      <c r="K4">
        <v>90</v>
      </c>
    </row>
    <row r="5" spans="1:11" x14ac:dyDescent="0.35">
      <c r="A5">
        <v>7.5</v>
      </c>
      <c r="B5">
        <v>-3.6880000000000002</v>
      </c>
      <c r="C5">
        <v>12.99</v>
      </c>
      <c r="D5">
        <f t="shared" si="0"/>
        <v>15.446405536564162</v>
      </c>
      <c r="E5">
        <f t="shared" si="1"/>
        <v>57.242940509739427</v>
      </c>
      <c r="G5">
        <f t="shared" si="2"/>
        <v>96.592582628906825</v>
      </c>
      <c r="H5">
        <v>2</v>
      </c>
      <c r="I5">
        <f t="shared" si="3"/>
        <v>-25.881904510252085</v>
      </c>
      <c r="J5">
        <v>100</v>
      </c>
      <c r="K5">
        <v>105</v>
      </c>
    </row>
    <row r="6" spans="1:11" x14ac:dyDescent="0.35">
      <c r="A6">
        <v>10.606999999999999</v>
      </c>
      <c r="B6">
        <v>-3.6880000000000002</v>
      </c>
      <c r="C6">
        <v>10.606999999999999</v>
      </c>
      <c r="D6">
        <f t="shared" si="0"/>
        <v>15.447272963212631</v>
      </c>
      <c r="E6">
        <f t="shared" si="1"/>
        <v>43.36617222606295</v>
      </c>
      <c r="G6">
        <f t="shared" si="2"/>
        <v>70.710678118654755</v>
      </c>
      <c r="H6">
        <v>3</v>
      </c>
      <c r="I6">
        <f t="shared" si="3"/>
        <v>-70.710678118654741</v>
      </c>
      <c r="J6">
        <v>100</v>
      </c>
      <c r="K6">
        <v>135</v>
      </c>
    </row>
    <row r="7" spans="1:11" x14ac:dyDescent="0.35">
      <c r="A7">
        <v>12.99</v>
      </c>
      <c r="B7">
        <v>-3.6880000000000002</v>
      </c>
      <c r="C7">
        <v>7.5</v>
      </c>
      <c r="D7">
        <f t="shared" si="0"/>
        <v>15.446405536564162</v>
      </c>
      <c r="E7">
        <f t="shared" si="1"/>
        <v>29.048503826283458</v>
      </c>
      <c r="G7">
        <f t="shared" si="2"/>
        <v>1.22514845490862E-14</v>
      </c>
      <c r="H7">
        <v>4</v>
      </c>
      <c r="I7">
        <f t="shared" si="3"/>
        <v>-100</v>
      </c>
      <c r="J7">
        <v>100</v>
      </c>
      <c r="K7">
        <v>180</v>
      </c>
    </row>
    <row r="8" spans="1:11" x14ac:dyDescent="0.35">
      <c r="A8">
        <v>14.489000000000001</v>
      </c>
      <c r="B8">
        <v>-3.6880000000000002</v>
      </c>
      <c r="C8">
        <v>3.8820000000000001</v>
      </c>
      <c r="D8">
        <f t="shared" si="0"/>
        <v>15.446759822046824</v>
      </c>
      <c r="E8">
        <f t="shared" si="1"/>
        <v>14.555331386636681</v>
      </c>
    </row>
    <row r="9" spans="1:11" x14ac:dyDescent="0.35">
      <c r="A9">
        <v>15</v>
      </c>
      <c r="B9">
        <v>-3.6880000000000002</v>
      </c>
      <c r="C9">
        <v>0</v>
      </c>
      <c r="D9">
        <f t="shared" si="0"/>
        <v>15.446725996145592</v>
      </c>
      <c r="E9">
        <f t="shared" si="1"/>
        <v>0</v>
      </c>
    </row>
    <row r="10" spans="1:11" x14ac:dyDescent="0.35">
      <c r="A10">
        <v>14.489000000000001</v>
      </c>
      <c r="B10">
        <v>-3.6880000000000002</v>
      </c>
      <c r="C10">
        <v>-3.8820000000000001</v>
      </c>
      <c r="D10">
        <f t="shared" si="0"/>
        <v>15.446759822046824</v>
      </c>
      <c r="E10">
        <f t="shared" si="1"/>
        <v>-14.555331386636681</v>
      </c>
    </row>
    <row r="11" spans="1:11" x14ac:dyDescent="0.35">
      <c r="A11">
        <v>12.99</v>
      </c>
      <c r="B11">
        <v>-3.6880000000000002</v>
      </c>
      <c r="C11">
        <v>-7.5</v>
      </c>
      <c r="D11">
        <f t="shared" si="0"/>
        <v>15.446405536564162</v>
      </c>
      <c r="E11">
        <f t="shared" si="1"/>
        <v>-29.048503826283465</v>
      </c>
    </row>
    <row r="12" spans="1:11" x14ac:dyDescent="0.35">
      <c r="A12">
        <v>10.606999999999999</v>
      </c>
      <c r="B12">
        <v>-3.6880000000000002</v>
      </c>
      <c r="C12">
        <v>-10.606999999999999</v>
      </c>
      <c r="D12">
        <f t="shared" si="0"/>
        <v>15.447272963212631</v>
      </c>
      <c r="E12">
        <f t="shared" si="1"/>
        <v>-43.366172226062957</v>
      </c>
    </row>
    <row r="13" spans="1:11" x14ac:dyDescent="0.35">
      <c r="A13">
        <v>7.5</v>
      </c>
      <c r="B13">
        <v>-3.6880000000000002</v>
      </c>
      <c r="C13">
        <v>-12.99</v>
      </c>
      <c r="D13">
        <f t="shared" si="0"/>
        <v>15.446405536564162</v>
      </c>
      <c r="E13">
        <f t="shared" si="1"/>
        <v>-57.242940509739441</v>
      </c>
    </row>
    <row r="14" spans="1:11" x14ac:dyDescent="0.35">
      <c r="A14">
        <v>3.8820000000000001</v>
      </c>
      <c r="B14">
        <v>-3.6880000000000002</v>
      </c>
      <c r="C14">
        <v>-14.489000000000001</v>
      </c>
      <c r="D14">
        <f t="shared" si="0"/>
        <v>15.446759822046824</v>
      </c>
      <c r="E14">
        <f t="shared" si="1"/>
        <v>-69.717700524085217</v>
      </c>
    </row>
    <row r="15" spans="1:11" x14ac:dyDescent="0.35">
      <c r="A15">
        <v>0</v>
      </c>
      <c r="B15">
        <v>-3.6880000000000002</v>
      </c>
      <c r="C15">
        <v>-15</v>
      </c>
      <c r="D15">
        <f t="shared" si="0"/>
        <v>15.446725996145592</v>
      </c>
      <c r="E15">
        <f t="shared" si="1"/>
        <v>-76.186864205427895</v>
      </c>
    </row>
    <row r="16" spans="1:11" x14ac:dyDescent="0.35">
      <c r="A16">
        <v>-3.8820000000000001</v>
      </c>
      <c r="B16">
        <v>-3.6880000000000002</v>
      </c>
      <c r="C16">
        <v>-14.489000000000001</v>
      </c>
      <c r="D16">
        <f t="shared" si="0"/>
        <v>15.446759822046824</v>
      </c>
      <c r="E16">
        <f t="shared" si="1"/>
        <v>-69.717700524085217</v>
      </c>
    </row>
    <row r="17" spans="1:5" x14ac:dyDescent="0.35">
      <c r="A17">
        <v>-7.5</v>
      </c>
      <c r="B17">
        <v>-3.6880000000000002</v>
      </c>
      <c r="C17">
        <v>-12.99</v>
      </c>
      <c r="D17">
        <f t="shared" si="0"/>
        <v>15.446405536564162</v>
      </c>
      <c r="E17">
        <f t="shared" si="1"/>
        <v>-57.242940509739441</v>
      </c>
    </row>
    <row r="18" spans="1:5" x14ac:dyDescent="0.35">
      <c r="A18">
        <v>-10.606999999999999</v>
      </c>
      <c r="B18">
        <v>-3.6880000000000002</v>
      </c>
      <c r="C18">
        <v>-10.606999999999999</v>
      </c>
      <c r="D18">
        <f t="shared" si="0"/>
        <v>15.447272963212631</v>
      </c>
      <c r="E18">
        <f t="shared" si="1"/>
        <v>-43.366172226062957</v>
      </c>
    </row>
    <row r="19" spans="1:5" x14ac:dyDescent="0.35">
      <c r="A19">
        <v>-12.99</v>
      </c>
      <c r="B19">
        <v>-3.6880000000000002</v>
      </c>
      <c r="C19">
        <v>-7.5</v>
      </c>
      <c r="D19">
        <f t="shared" si="0"/>
        <v>15.446405536564162</v>
      </c>
      <c r="E19">
        <f t="shared" si="1"/>
        <v>-29.048503826283465</v>
      </c>
    </row>
    <row r="20" spans="1:5" x14ac:dyDescent="0.35">
      <c r="A20">
        <v>-14.489000000000001</v>
      </c>
      <c r="B20">
        <v>-3.6880000000000002</v>
      </c>
      <c r="C20">
        <v>-3.8820000000000001</v>
      </c>
      <c r="D20">
        <f t="shared" si="0"/>
        <v>15.446759822046824</v>
      </c>
      <c r="E20">
        <f t="shared" si="1"/>
        <v>-14.555331386636681</v>
      </c>
    </row>
    <row r="21" spans="1:5" x14ac:dyDescent="0.35">
      <c r="A21">
        <v>-15</v>
      </c>
      <c r="B21">
        <v>-3.6880000000000002</v>
      </c>
      <c r="C21">
        <v>0</v>
      </c>
      <c r="D21">
        <f t="shared" si="0"/>
        <v>15.446725996145592</v>
      </c>
      <c r="E21">
        <f t="shared" si="1"/>
        <v>0</v>
      </c>
    </row>
    <row r="22" spans="1:5" x14ac:dyDescent="0.35">
      <c r="A22">
        <v>-14.489000000000001</v>
      </c>
      <c r="B22">
        <v>-3.6880000000000002</v>
      </c>
      <c r="C22">
        <v>3.8820000000000001</v>
      </c>
      <c r="D22">
        <f t="shared" si="0"/>
        <v>15.446759822046824</v>
      </c>
      <c r="E22">
        <f t="shared" si="1"/>
        <v>14.555331386636681</v>
      </c>
    </row>
    <row r="23" spans="1:5" x14ac:dyDescent="0.35">
      <c r="A23">
        <v>-12.99</v>
      </c>
      <c r="B23">
        <v>-3.6880000000000002</v>
      </c>
      <c r="C23">
        <v>7.5</v>
      </c>
      <c r="D23">
        <f t="shared" si="0"/>
        <v>15.446405536564162</v>
      </c>
      <c r="E23">
        <f t="shared" si="1"/>
        <v>29.048503826283458</v>
      </c>
    </row>
    <row r="24" spans="1:5" x14ac:dyDescent="0.35">
      <c r="A24">
        <v>-10.606999999999999</v>
      </c>
      <c r="B24">
        <v>-3.6880000000000002</v>
      </c>
      <c r="C24">
        <v>10.606999999999999</v>
      </c>
      <c r="D24">
        <f t="shared" si="0"/>
        <v>15.447272963212631</v>
      </c>
      <c r="E24">
        <f t="shared" si="1"/>
        <v>43.36617222606295</v>
      </c>
    </row>
    <row r="25" spans="1:5" x14ac:dyDescent="0.35">
      <c r="A25">
        <v>-7.5</v>
      </c>
      <c r="B25">
        <v>-3.6880000000000002</v>
      </c>
      <c r="C25">
        <v>12.99</v>
      </c>
      <c r="D25">
        <f t="shared" si="0"/>
        <v>15.446405536564162</v>
      </c>
      <c r="E25">
        <f t="shared" si="1"/>
        <v>57.242940509739427</v>
      </c>
    </row>
    <row r="26" spans="1:5" x14ac:dyDescent="0.35">
      <c r="A26">
        <v>-3.8820000000000001</v>
      </c>
      <c r="B26">
        <v>-3.6880000000000002</v>
      </c>
      <c r="C26">
        <v>14.489000000000001</v>
      </c>
      <c r="D26">
        <f t="shared" si="0"/>
        <v>15.446759822046824</v>
      </c>
      <c r="E26">
        <f t="shared" si="1"/>
        <v>69.717700524085217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Achleitner</dc:creator>
  <cp:lastModifiedBy>Johannes Achleitner</cp:lastModifiedBy>
  <dcterms:created xsi:type="dcterms:W3CDTF">2015-06-05T18:19:34Z</dcterms:created>
  <dcterms:modified xsi:type="dcterms:W3CDTF">2026-09-29T07:54:05Z</dcterms:modified>
</cp:coreProperties>
</file>