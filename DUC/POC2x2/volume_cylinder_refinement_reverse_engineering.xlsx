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flow360cases\DUC\POC2x2\"/>
    </mc:Choice>
  </mc:AlternateContent>
  <xr:revisionPtr revIDLastSave="0" documentId="13_ncr:1_{FC79D196-C039-4243-80B0-AAE1200B60F9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ummary" sheetId="1" r:id="rId1"/>
    <sheet name="RadialProfile" sheetId="2" r:id="rId2"/>
    <sheet name="Metadata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D2" i="1"/>
  <c r="D3" i="1"/>
  <c r="J3" i="1"/>
  <c r="O3" i="1"/>
  <c r="O2" i="1" s="1"/>
  <c r="P2" i="1" s="1"/>
  <c r="D4" i="1"/>
  <c r="D5" i="1"/>
  <c r="J4" i="1"/>
  <c r="J5" i="1"/>
  <c r="J6" i="1"/>
  <c r="O6" i="1"/>
  <c r="O5" i="1" s="1"/>
  <c r="D6" i="1"/>
  <c r="J8" i="1"/>
  <c r="O7" i="1"/>
  <c r="O8" i="1"/>
  <c r="D8" i="1"/>
  <c r="D7" i="1"/>
  <c r="J7" i="1"/>
  <c r="P7" i="1" l="1"/>
  <c r="O4" i="1"/>
  <c r="P4" i="1" s="1"/>
  <c r="P5" i="1"/>
  <c r="P6" i="1"/>
  <c r="P3" i="1" l="1"/>
</calcChain>
</file>

<file path=xl/sharedStrings.xml><?xml version="1.0" encoding="utf-8"?>
<sst xmlns="http://schemas.openxmlformats.org/spreadsheetml/2006/main" count="52" uniqueCount="51">
  <si>
    <t>region</t>
  </si>
  <si>
    <t>center_x_m</t>
  </si>
  <si>
    <t>center_y_m</t>
  </si>
  <si>
    <t>center_z_m</t>
  </si>
  <si>
    <t>axis_x</t>
  </si>
  <si>
    <t>axis_y</t>
  </si>
  <si>
    <t>axis_z</t>
  </si>
  <si>
    <t>z_min_m</t>
  </si>
  <si>
    <t>z_max_m</t>
  </si>
  <si>
    <t>height_m</t>
  </si>
  <si>
    <t>inner_radius_m</t>
  </si>
  <si>
    <t>outer_radius_m</t>
  </si>
  <si>
    <t>max_edge_p99_m</t>
  </si>
  <si>
    <t>max_edge_observed_m</t>
  </si>
  <si>
    <t>notes</t>
  </si>
  <si>
    <t>r_min_m</t>
  </si>
  <si>
    <t>r_max_m</t>
  </si>
  <si>
    <t>axial_min_m</t>
  </si>
  <si>
    <t>axial_max_m</t>
  </si>
  <si>
    <t>count</t>
  </si>
  <si>
    <t>p50_max_edge_m</t>
  </si>
  <si>
    <t>p99_max_edge_m</t>
  </si>
  <si>
    <t>observed_max_edge_m</t>
  </si>
  <si>
    <t>field</t>
  </si>
  <si>
    <t>value</t>
  </si>
  <si>
    <t>source_cgns</t>
  </si>
  <si>
    <t>DUC/POC2x2/duc_case1_mg13w2.cgns</t>
  </si>
  <si>
    <t>zone</t>
  </si>
  <si>
    <t>zone_s1</t>
  </si>
  <si>
    <t>analysis_center_m</t>
  </si>
  <si>
    <t>(0, 0, 0)</t>
  </si>
  <si>
    <t>analysis_axis</t>
  </si>
  <si>
    <t>(0, 0, 1)</t>
  </si>
  <si>
    <t>filtered_radius_range_m</t>
  </si>
  <si>
    <t>0.72 to 2.30</t>
  </si>
  <si>
    <t>filtered_axial_range_m</t>
  </si>
  <si>
    <t>-8.60 to 0.55</t>
  </si>
  <si>
    <t>sample_command</t>
  </si>
  <si>
    <t>mesh_reverse_engineering.py ... --analyze-volume-cylinders --volume-zones zone_s1 --volume-target-samples-per-section 6000 --volume-radius-range 0.72 2.3 --volume-axial-range -8.6 0.55</t>
  </si>
  <si>
    <t>interpretation</t>
  </si>
  <si>
    <t>Use p99 as maximum edge length for Flow360 spacing; observed maximum can include transition/outlier cells.</t>
  </si>
  <si>
    <t>outermost cylinder</t>
  </si>
  <si>
    <t>outer short-widecylinder</t>
  </si>
  <si>
    <t>coarse annulus</t>
  </si>
  <si>
    <t>ratio</t>
  </si>
  <si>
    <t>edge length (diagonal)</t>
  </si>
  <si>
    <t>edge lenght measured (diagonal)</t>
  </si>
  <si>
    <t>short coarse annulus</t>
  </si>
  <si>
    <t>coarse cylinder</t>
  </si>
  <si>
    <t>intermediate annulus</t>
  </si>
  <si>
    <t>intermediate cylinder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</si>
</sst>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"/>
  <sheetViews>
    <sheetView tabSelected="1" workbookViewId="0">
      <selection activeCell="A9" sqref="A9"/>
    </sheetView>
  </sheetViews>
  <sheetFormatPr baseColWidth="10" defaultRowHeight="14.5" x14ac:dyDescent="0.35"/>
  <cols>
    <col min="1" max="1" width="28.08984375" customWidth="1"/>
    <col min="2" max="17" width="18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46</v>
      </c>
      <c r="P1" t="s">
        <v>44</v>
      </c>
      <c r="Q1" t="s">
        <v>14</v>
      </c>
    </row>
    <row r="2" spans="1:17" x14ac:dyDescent="0.35">
      <c r="A2" t="s">
        <v>50</v>
      </c>
      <c r="B2">
        <v>0</v>
      </c>
      <c r="C2">
        <v>0</v>
      </c>
      <c r="D2">
        <f t="shared" ref="D2:D5" si="0">(H2+I2)/2</f>
        <v>3.6621500000000001E-2</v>
      </c>
      <c r="E2">
        <v>0</v>
      </c>
      <c r="F2">
        <v>0</v>
      </c>
      <c r="G2">
        <v>1</v>
      </c>
      <c r="H2" s="1">
        <v>-0.36620999999999998</v>
      </c>
      <c r="I2" s="1">
        <v>0.43945299999999998</v>
      </c>
      <c r="J2">
        <f t="shared" ref="J2:J5" si="1">I2-H2</f>
        <v>0.80566300000000002</v>
      </c>
      <c r="K2" s="1">
        <v>0</v>
      </c>
      <c r="L2" s="1">
        <v>1.6845699999999999</v>
      </c>
      <c r="O2" s="1">
        <f>O3</f>
        <v>3.1713850286586229E-2</v>
      </c>
      <c r="P2">
        <f>O2/O3</f>
        <v>1</v>
      </c>
    </row>
    <row r="3" spans="1:17" x14ac:dyDescent="0.35">
      <c r="A3" t="s">
        <v>49</v>
      </c>
      <c r="B3">
        <v>0</v>
      </c>
      <c r="C3">
        <v>0</v>
      </c>
      <c r="D3">
        <f t="shared" si="0"/>
        <v>-3.0944838999999997</v>
      </c>
      <c r="E3">
        <v>0</v>
      </c>
      <c r="F3">
        <v>0</v>
      </c>
      <c r="G3">
        <v>1</v>
      </c>
      <c r="H3" s="1">
        <v>-6.2622099999999996</v>
      </c>
      <c r="I3" s="1">
        <v>7.3242199999999993E-2</v>
      </c>
      <c r="J3">
        <f t="shared" si="1"/>
        <v>6.3354521999999998</v>
      </c>
      <c r="K3" s="1">
        <v>1.0620099999999999</v>
      </c>
      <c r="L3" s="1">
        <v>1.9043000000000001</v>
      </c>
      <c r="O3" s="1">
        <f>(L3-1.88599)*SQRT(3)</f>
        <v>3.1713850286586229E-2</v>
      </c>
      <c r="P3">
        <f>O3/O4</f>
        <v>0.50000000000000611</v>
      </c>
    </row>
    <row r="4" spans="1:17" x14ac:dyDescent="0.35">
      <c r="A4" t="s">
        <v>48</v>
      </c>
      <c r="B4">
        <v>0</v>
      </c>
      <c r="C4">
        <v>0</v>
      </c>
      <c r="D4">
        <f t="shared" si="0"/>
        <v>7.3241999999999974E-2</v>
      </c>
      <c r="E4">
        <v>0</v>
      </c>
      <c r="F4">
        <v>0</v>
      </c>
      <c r="G4">
        <v>1</v>
      </c>
      <c r="H4" s="1">
        <v>-0.73242200000000002</v>
      </c>
      <c r="I4" s="1">
        <v>0.87890599999999997</v>
      </c>
      <c r="J4">
        <f t="shared" si="1"/>
        <v>1.6113279999999999</v>
      </c>
      <c r="K4" s="1">
        <v>0</v>
      </c>
      <c r="L4" s="1">
        <v>1.9043000000000001</v>
      </c>
      <c r="O4" s="1">
        <f>O5</f>
        <v>6.342770057317168E-2</v>
      </c>
      <c r="P4">
        <f>O4/O5</f>
        <v>1</v>
      </c>
    </row>
    <row r="5" spans="1:17" x14ac:dyDescent="0.35">
      <c r="A5" t="s">
        <v>47</v>
      </c>
      <c r="B5">
        <v>0</v>
      </c>
      <c r="C5">
        <v>0</v>
      </c>
      <c r="D5">
        <f t="shared" si="0"/>
        <v>-2.9663090000000003</v>
      </c>
      <c r="E5">
        <v>0</v>
      </c>
      <c r="F5">
        <v>0</v>
      </c>
      <c r="G5">
        <v>1</v>
      </c>
      <c r="H5" s="1">
        <v>-6.6650400000000003</v>
      </c>
      <c r="I5" s="1">
        <v>0.73242200000000002</v>
      </c>
      <c r="J5">
        <f t="shared" si="1"/>
        <v>7.397462</v>
      </c>
      <c r="K5" s="1">
        <v>0.58593799999999996</v>
      </c>
      <c r="L5" s="1">
        <v>2.05078</v>
      </c>
      <c r="O5" s="1">
        <f>O6</f>
        <v>6.342770057317168E-2</v>
      </c>
      <c r="P5">
        <f>O5/O6</f>
        <v>1</v>
      </c>
    </row>
    <row r="6" spans="1:17" x14ac:dyDescent="0.35">
      <c r="A6" t="s">
        <v>43</v>
      </c>
      <c r="B6">
        <v>0</v>
      </c>
      <c r="C6">
        <v>0</v>
      </c>
      <c r="D6">
        <f>(H6+I6)/2</f>
        <v>-3.9916985</v>
      </c>
      <c r="E6">
        <v>0</v>
      </c>
      <c r="F6">
        <v>0</v>
      </c>
      <c r="G6">
        <v>1</v>
      </c>
      <c r="H6" s="1">
        <v>-8.4228500000000004</v>
      </c>
      <c r="I6" s="1">
        <v>0.43945299999999998</v>
      </c>
      <c r="J6">
        <f>I6-H6</f>
        <v>8.8623030000000007</v>
      </c>
      <c r="K6" s="1">
        <v>0.73242200000000002</v>
      </c>
      <c r="L6" s="1">
        <v>2.2705099999999998</v>
      </c>
      <c r="O6" s="1">
        <f>(L6-2.23389)*SQRT(3)</f>
        <v>6.342770057317168E-2</v>
      </c>
      <c r="P6">
        <f>O6/O7</f>
        <v>0.49999999999999695</v>
      </c>
    </row>
    <row r="7" spans="1:17" x14ac:dyDescent="0.35">
      <c r="A7" t="s">
        <v>42</v>
      </c>
      <c r="B7">
        <v>0</v>
      </c>
      <c r="C7">
        <v>0</v>
      </c>
      <c r="D7">
        <f>(H7+I7)/2</f>
        <v>-4.8294100000000002</v>
      </c>
      <c r="E7">
        <v>0</v>
      </c>
      <c r="F7">
        <v>0</v>
      </c>
      <c r="G7">
        <v>1</v>
      </c>
      <c r="H7" s="1">
        <v>-10.83</v>
      </c>
      <c r="I7" s="1">
        <v>1.1711800000000001</v>
      </c>
      <c r="J7">
        <f>I7-H7</f>
        <v>12.00118</v>
      </c>
      <c r="K7" s="1">
        <v>0</v>
      </c>
      <c r="L7" s="1">
        <v>2.65</v>
      </c>
      <c r="O7" s="1">
        <f>(3.07617-3.00293)*SQRT(3)</f>
        <v>0.12685540114634414</v>
      </c>
      <c r="P7">
        <f>O7/O8</f>
        <v>1</v>
      </c>
      <c r="Q7" t="s">
        <v>45</v>
      </c>
    </row>
    <row r="8" spans="1:17" x14ac:dyDescent="0.35">
      <c r="A8" t="s">
        <v>41</v>
      </c>
      <c r="B8">
        <v>0</v>
      </c>
      <c r="C8">
        <v>0</v>
      </c>
      <c r="D8">
        <f>(H8+I8)/2</f>
        <v>-3.808595</v>
      </c>
      <c r="E8">
        <v>0</v>
      </c>
      <c r="F8">
        <v>0</v>
      </c>
      <c r="G8">
        <v>1</v>
      </c>
      <c r="H8" s="1">
        <v>-9.2285199999999996</v>
      </c>
      <c r="I8" s="1">
        <v>1.6113299999999999</v>
      </c>
      <c r="J8">
        <f>I8-H8</f>
        <v>10.83985</v>
      </c>
      <c r="K8" s="1">
        <v>0</v>
      </c>
      <c r="L8" s="1">
        <v>3.06</v>
      </c>
      <c r="O8" s="1">
        <f>(3.07617-3.00293)*SQRT(3)</f>
        <v>0.12685540114634414</v>
      </c>
      <c r="Q8" t="s">
        <v>45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6"/>
  <sheetViews>
    <sheetView workbookViewId="0"/>
  </sheetViews>
  <sheetFormatPr baseColWidth="10" defaultRowHeight="14.5" x14ac:dyDescent="0.35"/>
  <cols>
    <col min="1" max="8" width="18" customWidth="1"/>
  </cols>
  <sheetData>
    <row r="1" spans="1:8" x14ac:dyDescent="0.3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</row>
    <row r="2" spans="1:8" x14ac:dyDescent="0.35">
      <c r="A2">
        <v>0.72024999999999995</v>
      </c>
      <c r="B2">
        <v>0.74454200000000004</v>
      </c>
      <c r="C2">
        <v>-8.4686299999999992</v>
      </c>
      <c r="D2">
        <v>0.44311499999999998</v>
      </c>
      <c r="E2">
        <v>83</v>
      </c>
      <c r="F2">
        <v>1.54276E-2</v>
      </c>
      <c r="G2">
        <v>6.6752000000000006E-2</v>
      </c>
      <c r="H2">
        <v>8.1887299999999996E-2</v>
      </c>
    </row>
    <row r="3" spans="1:8" x14ac:dyDescent="0.35">
      <c r="A3">
        <v>0.74454200000000004</v>
      </c>
      <c r="B3">
        <v>0.76965300000000003</v>
      </c>
      <c r="C3">
        <v>-7.4890100000000004</v>
      </c>
      <c r="D3">
        <v>0.44311499999999998</v>
      </c>
      <c r="E3">
        <v>76</v>
      </c>
      <c r="F3">
        <v>1.45042E-2</v>
      </c>
      <c r="G3">
        <v>3.7701699999999998E-2</v>
      </c>
      <c r="H3">
        <v>4.0943599999999997E-2</v>
      </c>
    </row>
    <row r="4" spans="1:8" x14ac:dyDescent="0.35">
      <c r="A4">
        <v>0.76965300000000003</v>
      </c>
      <c r="B4">
        <v>0.79561099999999996</v>
      </c>
      <c r="C4">
        <v>-8.4887700000000006</v>
      </c>
      <c r="D4">
        <v>0.45318599999999998</v>
      </c>
      <c r="E4">
        <v>106</v>
      </c>
      <c r="F4">
        <v>1.35561E-2</v>
      </c>
      <c r="G4">
        <v>4.0943599999999997E-2</v>
      </c>
      <c r="H4">
        <v>7.3242199999999993E-2</v>
      </c>
    </row>
    <row r="5" spans="1:8" x14ac:dyDescent="0.35">
      <c r="A5">
        <v>0.79561099999999996</v>
      </c>
      <c r="B5">
        <v>0.82244499999999998</v>
      </c>
      <c r="C5">
        <v>-7.3791500000000001</v>
      </c>
      <c r="D5">
        <v>0.462341</v>
      </c>
      <c r="E5">
        <v>100</v>
      </c>
      <c r="F5">
        <v>1.17617E-2</v>
      </c>
      <c r="G5">
        <v>4.0943599999999997E-2</v>
      </c>
      <c r="H5">
        <v>4.0943599999999997E-2</v>
      </c>
    </row>
    <row r="6" spans="1:8" x14ac:dyDescent="0.35">
      <c r="A6">
        <v>0.82244499999999998</v>
      </c>
      <c r="B6">
        <v>0.85018300000000002</v>
      </c>
      <c r="C6">
        <v>-8.4503199999999996</v>
      </c>
      <c r="D6">
        <v>0.472412</v>
      </c>
      <c r="E6">
        <v>93</v>
      </c>
      <c r="F6">
        <v>1.1617499999999999E-2</v>
      </c>
      <c r="G6">
        <v>6.4906199999999997E-2</v>
      </c>
      <c r="H6">
        <v>8.1887299999999996E-2</v>
      </c>
    </row>
    <row r="7" spans="1:8" x14ac:dyDescent="0.35">
      <c r="A7">
        <v>0.85018300000000002</v>
      </c>
      <c r="B7">
        <v>0.878857</v>
      </c>
      <c r="C7">
        <v>-8.4686299999999992</v>
      </c>
      <c r="D7">
        <v>0.472412</v>
      </c>
      <c r="E7">
        <v>86</v>
      </c>
      <c r="F7">
        <v>1.11892E-2</v>
      </c>
      <c r="G7">
        <v>4.7085200000000001E-2</v>
      </c>
      <c r="H7">
        <v>8.1887299999999996E-2</v>
      </c>
    </row>
    <row r="8" spans="1:8" x14ac:dyDescent="0.35">
      <c r="A8">
        <v>0.878857</v>
      </c>
      <c r="B8">
        <v>0.90849899999999995</v>
      </c>
      <c r="C8">
        <v>-7.7087399999999997</v>
      </c>
      <c r="D8">
        <v>0.44311499999999998</v>
      </c>
      <c r="E8">
        <v>126</v>
      </c>
      <c r="F8">
        <v>1.3092700000000001E-2</v>
      </c>
      <c r="G8">
        <v>3.6621099999999997E-2</v>
      </c>
      <c r="H8">
        <v>3.6621099999999997E-2</v>
      </c>
    </row>
    <row r="9" spans="1:8" x14ac:dyDescent="0.35">
      <c r="A9">
        <v>0.90849899999999995</v>
      </c>
      <c r="B9">
        <v>0.93913999999999997</v>
      </c>
      <c r="C9">
        <v>-8.43018</v>
      </c>
      <c r="D9">
        <v>0.472412</v>
      </c>
      <c r="E9">
        <v>117</v>
      </c>
      <c r="F9">
        <v>1.25503E-2</v>
      </c>
      <c r="G9">
        <v>4.0252000000000003E-2</v>
      </c>
      <c r="H9">
        <v>6.3429600000000003E-2</v>
      </c>
    </row>
    <row r="10" spans="1:8" x14ac:dyDescent="0.35">
      <c r="A10">
        <v>0.93913999999999997</v>
      </c>
      <c r="B10">
        <v>0.97081399999999995</v>
      </c>
      <c r="C10">
        <v>-8.43018</v>
      </c>
      <c r="D10">
        <v>0.472412</v>
      </c>
      <c r="E10">
        <v>151</v>
      </c>
      <c r="F10">
        <v>1.50698E-2</v>
      </c>
      <c r="G10">
        <v>5.1790000000000003E-2</v>
      </c>
      <c r="H10">
        <v>6.3429600000000003E-2</v>
      </c>
    </row>
    <row r="11" spans="1:8" x14ac:dyDescent="0.35">
      <c r="A11">
        <v>0.97081399999999995</v>
      </c>
      <c r="B11">
        <v>1.00356</v>
      </c>
      <c r="C11">
        <v>-8.43018</v>
      </c>
      <c r="D11">
        <v>0.472412</v>
      </c>
      <c r="E11">
        <v>337</v>
      </c>
      <c r="F11">
        <v>3.6621099999999997E-2</v>
      </c>
      <c r="G11">
        <v>5.1790000000000003E-2</v>
      </c>
      <c r="H11">
        <v>6.3429600000000003E-2</v>
      </c>
    </row>
    <row r="12" spans="1:8" x14ac:dyDescent="0.35">
      <c r="A12">
        <v>1.00356</v>
      </c>
      <c r="B12">
        <v>1.0374000000000001</v>
      </c>
      <c r="C12">
        <v>-8.43018</v>
      </c>
      <c r="D12">
        <v>0.472412</v>
      </c>
      <c r="E12">
        <v>750</v>
      </c>
      <c r="F12">
        <v>3.1714800000000001E-2</v>
      </c>
      <c r="G12">
        <v>4.6475299999999997E-2</v>
      </c>
      <c r="H12">
        <v>6.3429600000000003E-2</v>
      </c>
    </row>
    <row r="13" spans="1:8" x14ac:dyDescent="0.35">
      <c r="A13">
        <v>1.0374000000000001</v>
      </c>
      <c r="B13">
        <v>1.07239</v>
      </c>
      <c r="C13">
        <v>-8.5327099999999998</v>
      </c>
      <c r="D13">
        <v>0.48980699999999999</v>
      </c>
      <c r="E13">
        <v>587</v>
      </c>
      <c r="F13">
        <v>3.1714800000000001E-2</v>
      </c>
      <c r="G13">
        <v>4.0943599999999997E-2</v>
      </c>
      <c r="H13">
        <v>8.1887299999999996E-2</v>
      </c>
    </row>
    <row r="14" spans="1:8" x14ac:dyDescent="0.35">
      <c r="A14">
        <v>1.07239</v>
      </c>
      <c r="B14">
        <v>1.10856</v>
      </c>
      <c r="C14">
        <v>-8.4887700000000006</v>
      </c>
      <c r="D14">
        <v>0.462341</v>
      </c>
      <c r="E14">
        <v>248</v>
      </c>
      <c r="F14">
        <v>1.83105E-2</v>
      </c>
      <c r="G14">
        <v>4.0943599999999997E-2</v>
      </c>
      <c r="H14">
        <v>7.3242199999999993E-2</v>
      </c>
    </row>
    <row r="15" spans="1:8" x14ac:dyDescent="0.35">
      <c r="A15">
        <v>1.10856</v>
      </c>
      <c r="B15">
        <v>1.14595</v>
      </c>
      <c r="C15">
        <v>-8.4887700000000006</v>
      </c>
      <c r="D15">
        <v>0.462341</v>
      </c>
      <c r="E15">
        <v>277</v>
      </c>
      <c r="F15">
        <v>1.83105E-2</v>
      </c>
      <c r="G15">
        <v>4.0943599999999997E-2</v>
      </c>
      <c r="H15">
        <v>7.3242199999999993E-2</v>
      </c>
    </row>
    <row r="16" spans="1:8" x14ac:dyDescent="0.35">
      <c r="A16">
        <v>1.14595</v>
      </c>
      <c r="B16">
        <v>1.1846000000000001</v>
      </c>
      <c r="C16">
        <v>-8.1848100000000006</v>
      </c>
      <c r="D16">
        <v>0.472412</v>
      </c>
      <c r="E16">
        <v>301</v>
      </c>
      <c r="F16">
        <v>1.83105E-2</v>
      </c>
      <c r="G16">
        <v>3.6621099999999997E-2</v>
      </c>
      <c r="H16">
        <v>4.0943599999999997E-2</v>
      </c>
    </row>
    <row r="17" spans="1:8" x14ac:dyDescent="0.35">
      <c r="A17">
        <v>1.1846000000000001</v>
      </c>
      <c r="B17">
        <v>1.22455</v>
      </c>
      <c r="C17">
        <v>-8.4887700000000006</v>
      </c>
      <c r="D17">
        <v>0.49438500000000002</v>
      </c>
      <c r="E17">
        <v>309</v>
      </c>
      <c r="F17">
        <v>1.83105E-2</v>
      </c>
      <c r="G17">
        <v>6.3429600000000003E-2</v>
      </c>
      <c r="H17">
        <v>8.1887299999999996E-2</v>
      </c>
    </row>
    <row r="18" spans="1:8" x14ac:dyDescent="0.35">
      <c r="A18">
        <v>1.22455</v>
      </c>
      <c r="B18">
        <v>1.2658499999999999</v>
      </c>
      <c r="C18">
        <v>-8.43018</v>
      </c>
      <c r="D18">
        <v>0.472412</v>
      </c>
      <c r="E18">
        <v>321</v>
      </c>
      <c r="F18">
        <v>1.83105E-2</v>
      </c>
      <c r="G18">
        <v>3.6621099999999997E-2</v>
      </c>
      <c r="H18">
        <v>6.3429600000000003E-2</v>
      </c>
    </row>
    <row r="19" spans="1:8" x14ac:dyDescent="0.35">
      <c r="A19">
        <v>1.2658499999999999</v>
      </c>
      <c r="B19">
        <v>1.3085500000000001</v>
      </c>
      <c r="C19">
        <v>-8.4887700000000006</v>
      </c>
      <c r="D19">
        <v>0.49438500000000002</v>
      </c>
      <c r="E19">
        <v>375</v>
      </c>
      <c r="F19">
        <v>1.83105E-2</v>
      </c>
      <c r="G19">
        <v>4.0943599999999997E-2</v>
      </c>
      <c r="H19">
        <v>8.1887299999999996E-2</v>
      </c>
    </row>
    <row r="20" spans="1:8" x14ac:dyDescent="0.35">
      <c r="A20">
        <v>1.3085500000000001</v>
      </c>
      <c r="B20">
        <v>1.3526800000000001</v>
      </c>
      <c r="C20">
        <v>-8.43018</v>
      </c>
      <c r="D20">
        <v>0.462341</v>
      </c>
      <c r="E20">
        <v>350</v>
      </c>
      <c r="F20">
        <v>1.83105E-2</v>
      </c>
      <c r="G20">
        <v>3.6621099999999997E-2</v>
      </c>
      <c r="H20">
        <v>6.3429600000000003E-2</v>
      </c>
    </row>
    <row r="21" spans="1:8" x14ac:dyDescent="0.35">
      <c r="A21">
        <v>1.3526800000000001</v>
      </c>
      <c r="B21">
        <v>1.3983000000000001</v>
      </c>
      <c r="C21">
        <v>-8.4503199999999996</v>
      </c>
      <c r="D21">
        <v>0.53100599999999998</v>
      </c>
      <c r="E21">
        <v>392</v>
      </c>
      <c r="F21">
        <v>1.83105E-2</v>
      </c>
      <c r="G21">
        <v>4.0943599999999997E-2</v>
      </c>
      <c r="H21">
        <v>8.1887299999999996E-2</v>
      </c>
    </row>
    <row r="22" spans="1:8" x14ac:dyDescent="0.35">
      <c r="A22">
        <v>1.3983000000000001</v>
      </c>
      <c r="B22">
        <v>1.44546</v>
      </c>
      <c r="C22">
        <v>-8.4686299999999992</v>
      </c>
      <c r="D22">
        <v>0.44311499999999998</v>
      </c>
      <c r="E22">
        <v>422</v>
      </c>
      <c r="F22">
        <v>1.83105E-2</v>
      </c>
      <c r="G22">
        <v>4.0943599999999997E-2</v>
      </c>
      <c r="H22">
        <v>8.1887299999999996E-2</v>
      </c>
    </row>
    <row r="23" spans="1:8" x14ac:dyDescent="0.35">
      <c r="A23">
        <v>1.44546</v>
      </c>
      <c r="B23">
        <v>1.49421</v>
      </c>
      <c r="C23">
        <v>-8.43018</v>
      </c>
      <c r="D23">
        <v>0.53100599999999998</v>
      </c>
      <c r="E23">
        <v>420</v>
      </c>
      <c r="F23">
        <v>1.83105E-2</v>
      </c>
      <c r="G23">
        <v>4.0943599999999997E-2</v>
      </c>
      <c r="H23">
        <v>6.3429600000000003E-2</v>
      </c>
    </row>
    <row r="24" spans="1:8" x14ac:dyDescent="0.35">
      <c r="A24">
        <v>1.49421</v>
      </c>
      <c r="B24">
        <v>1.54461</v>
      </c>
      <c r="C24">
        <v>-8.4503199999999996</v>
      </c>
      <c r="D24">
        <v>0.472412</v>
      </c>
      <c r="E24">
        <v>1013</v>
      </c>
      <c r="F24">
        <v>1.7177100000000001E-2</v>
      </c>
      <c r="G24">
        <v>3.6621099999999997E-2</v>
      </c>
      <c r="H24">
        <v>8.1887299999999996E-2</v>
      </c>
    </row>
    <row r="25" spans="1:8" x14ac:dyDescent="0.35">
      <c r="A25">
        <v>1.54461</v>
      </c>
      <c r="B25">
        <v>1.5967</v>
      </c>
      <c r="C25">
        <v>-8.4887700000000006</v>
      </c>
      <c r="D25">
        <v>0.49438500000000002</v>
      </c>
      <c r="E25">
        <v>324</v>
      </c>
      <c r="F25">
        <v>1.83105E-2</v>
      </c>
      <c r="G25">
        <v>4.0943599999999997E-2</v>
      </c>
      <c r="H25">
        <v>7.3242199999999993E-2</v>
      </c>
    </row>
    <row r="26" spans="1:8" x14ac:dyDescent="0.35">
      <c r="A26">
        <v>1.5967</v>
      </c>
      <c r="B26">
        <v>1.65056</v>
      </c>
      <c r="C26">
        <v>-8.43018</v>
      </c>
      <c r="D26">
        <v>0.472412</v>
      </c>
      <c r="E26">
        <v>301</v>
      </c>
      <c r="F26">
        <v>1.83105E-2</v>
      </c>
      <c r="G26">
        <v>4.0943599999999997E-2</v>
      </c>
      <c r="H26">
        <v>6.3429600000000003E-2</v>
      </c>
    </row>
    <row r="27" spans="1:8" x14ac:dyDescent="0.35">
      <c r="A27">
        <v>1.65056</v>
      </c>
      <c r="B27">
        <v>1.7062299999999999</v>
      </c>
      <c r="C27">
        <v>-8.43018</v>
      </c>
      <c r="D27">
        <v>0.457764</v>
      </c>
      <c r="E27">
        <v>348</v>
      </c>
      <c r="F27">
        <v>1.83105E-2</v>
      </c>
      <c r="G27">
        <v>4.0943599999999997E-2</v>
      </c>
      <c r="H27">
        <v>6.3429600000000003E-2</v>
      </c>
    </row>
    <row r="28" spans="1:8" x14ac:dyDescent="0.35">
      <c r="A28">
        <v>1.7062299999999999</v>
      </c>
      <c r="B28">
        <v>1.7637700000000001</v>
      </c>
      <c r="C28">
        <v>-8.4686299999999992</v>
      </c>
      <c r="D28">
        <v>0.53100599999999998</v>
      </c>
      <c r="E28">
        <v>431</v>
      </c>
      <c r="F28">
        <v>1.83105E-2</v>
      </c>
      <c r="G28">
        <v>4.0943599999999997E-2</v>
      </c>
      <c r="H28">
        <v>8.1887299999999996E-2</v>
      </c>
    </row>
    <row r="29" spans="1:8" x14ac:dyDescent="0.35">
      <c r="A29">
        <v>1.7637700000000001</v>
      </c>
      <c r="B29">
        <v>1.8232600000000001</v>
      </c>
      <c r="C29">
        <v>-8.43018</v>
      </c>
      <c r="D29">
        <v>0.49438500000000002</v>
      </c>
      <c r="E29">
        <v>368</v>
      </c>
      <c r="F29">
        <v>1.83105E-2</v>
      </c>
      <c r="G29">
        <v>4.0943599999999997E-2</v>
      </c>
      <c r="H29">
        <v>6.3429600000000003E-2</v>
      </c>
    </row>
    <row r="30" spans="1:8" x14ac:dyDescent="0.35">
      <c r="A30">
        <v>1.8232600000000001</v>
      </c>
      <c r="B30">
        <v>1.8847499999999999</v>
      </c>
      <c r="C30">
        <v>-8.4503199999999996</v>
      </c>
      <c r="D30">
        <v>0.53100599999999998</v>
      </c>
      <c r="E30">
        <v>359</v>
      </c>
      <c r="F30">
        <v>1.83105E-2</v>
      </c>
      <c r="G30">
        <v>5.0387700000000001E-2</v>
      </c>
      <c r="H30">
        <v>8.1887299999999996E-2</v>
      </c>
    </row>
    <row r="31" spans="1:8" x14ac:dyDescent="0.35">
      <c r="A31">
        <v>1.8847499999999999</v>
      </c>
      <c r="B31">
        <v>1.9483200000000001</v>
      </c>
      <c r="C31">
        <v>-8.5327099999999998</v>
      </c>
      <c r="D31">
        <v>0.49438500000000002</v>
      </c>
      <c r="E31">
        <v>1020</v>
      </c>
      <c r="F31">
        <v>3.1714800000000001E-2</v>
      </c>
      <c r="G31">
        <v>4.0943599999999997E-2</v>
      </c>
      <c r="H31">
        <v>8.1887299999999996E-2</v>
      </c>
    </row>
    <row r="32" spans="1:8" x14ac:dyDescent="0.35">
      <c r="A32">
        <v>1.9483200000000001</v>
      </c>
      <c r="B32">
        <v>2.01403</v>
      </c>
      <c r="C32">
        <v>-8.4503199999999996</v>
      </c>
      <c r="D32">
        <v>0.384521</v>
      </c>
      <c r="E32">
        <v>1692</v>
      </c>
      <c r="F32">
        <v>3.1714800000000001E-2</v>
      </c>
      <c r="G32">
        <v>5.1790000000000003E-2</v>
      </c>
      <c r="H32">
        <v>8.1887299999999996E-2</v>
      </c>
    </row>
    <row r="33" spans="1:8" x14ac:dyDescent="0.35">
      <c r="A33">
        <v>2.01403</v>
      </c>
      <c r="B33">
        <v>2.08196</v>
      </c>
      <c r="C33">
        <v>-8.4686299999999992</v>
      </c>
      <c r="D33">
        <v>0.49438500000000002</v>
      </c>
      <c r="E33">
        <v>178</v>
      </c>
      <c r="F33">
        <v>3.6621099999999997E-2</v>
      </c>
      <c r="G33">
        <v>6.7674899999999996E-2</v>
      </c>
      <c r="H33">
        <v>8.1887299999999996E-2</v>
      </c>
    </row>
    <row r="34" spans="1:8" x14ac:dyDescent="0.35">
      <c r="A34">
        <v>2.08196</v>
      </c>
      <c r="B34">
        <v>2.15218</v>
      </c>
      <c r="C34">
        <v>-8.43018</v>
      </c>
      <c r="D34">
        <v>0.54931600000000003</v>
      </c>
      <c r="E34">
        <v>76</v>
      </c>
      <c r="F34">
        <v>3.6621099999999997E-2</v>
      </c>
      <c r="G34">
        <v>6.5882700000000002E-2</v>
      </c>
      <c r="H34">
        <v>7.3242199999999993E-2</v>
      </c>
    </row>
    <row r="35" spans="1:8" x14ac:dyDescent="0.35">
      <c r="A35">
        <v>2.15218</v>
      </c>
      <c r="B35">
        <v>2.2247599999999998</v>
      </c>
      <c r="C35">
        <v>-8.4887700000000006</v>
      </c>
      <c r="D35">
        <v>0.49072300000000002</v>
      </c>
      <c r="E35">
        <v>81</v>
      </c>
      <c r="F35">
        <v>3.6621099999999997E-2</v>
      </c>
      <c r="G35">
        <v>7.4971200000000002E-2</v>
      </c>
      <c r="H35">
        <v>8.1887299999999996E-2</v>
      </c>
    </row>
    <row r="36" spans="1:8" x14ac:dyDescent="0.35">
      <c r="A36">
        <v>2.2247599999999998</v>
      </c>
      <c r="B36">
        <v>2.2997999999999998</v>
      </c>
      <c r="C36">
        <v>-8.43018</v>
      </c>
      <c r="D36">
        <v>0.54931600000000003</v>
      </c>
      <c r="E36">
        <v>221</v>
      </c>
      <c r="F36">
        <v>6.3429600000000003E-2</v>
      </c>
      <c r="G36">
        <v>8.1887299999999996E-2</v>
      </c>
      <c r="H36">
        <v>8.1887299999999996E-2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baseColWidth="10" defaultRowHeight="14.5" x14ac:dyDescent="0.35"/>
  <cols>
    <col min="1" max="2" width="18" customWidth="1"/>
  </cols>
  <sheetData>
    <row r="1" spans="1:2" x14ac:dyDescent="0.35">
      <c r="A1" t="s">
        <v>23</v>
      </c>
      <c r="B1" t="s">
        <v>24</v>
      </c>
    </row>
    <row r="2" spans="1:2" x14ac:dyDescent="0.35">
      <c r="A2" t="s">
        <v>25</v>
      </c>
      <c r="B2" t="s">
        <v>26</v>
      </c>
    </row>
    <row r="3" spans="1:2" x14ac:dyDescent="0.35">
      <c r="A3" t="s">
        <v>27</v>
      </c>
      <c r="B3" t="s">
        <v>28</v>
      </c>
    </row>
    <row r="4" spans="1:2" x14ac:dyDescent="0.35">
      <c r="A4" t="s">
        <v>29</v>
      </c>
      <c r="B4" t="s">
        <v>30</v>
      </c>
    </row>
    <row r="5" spans="1:2" x14ac:dyDescent="0.35">
      <c r="A5" t="s">
        <v>31</v>
      </c>
      <c r="B5" t="s">
        <v>32</v>
      </c>
    </row>
    <row r="6" spans="1:2" x14ac:dyDescent="0.35">
      <c r="A6" t="s">
        <v>33</v>
      </c>
      <c r="B6" t="s">
        <v>34</v>
      </c>
    </row>
    <row r="7" spans="1:2" x14ac:dyDescent="0.35">
      <c r="A7" t="s">
        <v>35</v>
      </c>
      <c r="B7" t="s">
        <v>36</v>
      </c>
    </row>
    <row r="8" spans="1:2" x14ac:dyDescent="0.35">
      <c r="A8" t="s">
        <v>37</v>
      </c>
      <c r="B8" t="s">
        <v>38</v>
      </c>
    </row>
    <row r="9" spans="1:2" x14ac:dyDescent="0.35">
      <c r="A9" t="s">
        <v>39</v>
      </c>
      <c r="B9" t="s">
        <v>40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Summary</vt:lpstr>
      <vt:lpstr>RadialProfile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Johannes Achleitner</cp:lastModifiedBy>
  <dcterms:modified xsi:type="dcterms:W3CDTF">2026-07-23T15:40:46Z</dcterms:modified>
</cp:coreProperties>
</file>